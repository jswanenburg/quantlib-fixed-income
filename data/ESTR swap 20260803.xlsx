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3343\source\repos\GB_QuantLib_CodeHub\data\"/>
    </mc:Choice>
  </mc:AlternateContent>
  <xr:revisionPtr revIDLastSave="0" documentId="13_ncr:1_{B456CF85-C759-4B6D-8DBC-7BB1B1EE0C84}" xr6:coauthVersionLast="47" xr6:coauthVersionMax="47" xr10:uidLastSave="{00000000-0000-0000-0000-000000000000}"/>
  <bookViews>
    <workbookView xWindow="-108" yWindow="-108" windowWidth="23256" windowHeight="13896" xr2:uid="{588AF5F9-F76E-436A-8955-F1EEE1EA3DAD}"/>
  </bookViews>
  <sheets>
    <sheet name="Settings" sheetId="2" r:id="rId1"/>
    <sheet name="Cash Flow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A7" i="1" s="1"/>
  <c r="A9" i="1" s="1"/>
  <c r="A11" i="1" s="1"/>
  <c r="A4" i="1"/>
  <c r="A6" i="1" s="1"/>
  <c r="A8" i="1" s="1"/>
  <c r="A10" i="1" s="1"/>
  <c r="A13" i="1" l="1"/>
  <c r="A15" i="1" s="1"/>
  <c r="A17" i="1" s="1"/>
  <c r="A12" i="1"/>
  <c r="A14" i="1" l="1"/>
  <c r="A16" i="1" s="1"/>
  <c r="A18" i="1" s="1"/>
  <c r="A20" i="1" s="1"/>
  <c r="A19" i="1"/>
  <c r="A21" i="1" s="1"/>
</calcChain>
</file>

<file path=xl/sharedStrings.xml><?xml version="1.0" encoding="utf-8"?>
<sst xmlns="http://schemas.openxmlformats.org/spreadsheetml/2006/main" count="63" uniqueCount="48">
  <si>
    <t>Pay Date</t>
  </si>
  <si>
    <t>Payments(Rcv)</t>
  </si>
  <si>
    <t>Payments(Pay)</t>
  </si>
  <si>
    <t>Net Payments</t>
  </si>
  <si>
    <t>Discount</t>
  </si>
  <si>
    <t>PV</t>
  </si>
  <si>
    <t>Notional</t>
  </si>
  <si>
    <t>Currency</t>
  </si>
  <si>
    <t>EUR</t>
  </si>
  <si>
    <t>Effective date</t>
  </si>
  <si>
    <t>Maturity date</t>
  </si>
  <si>
    <t>Tenor</t>
  </si>
  <si>
    <t>10Y</t>
  </si>
  <si>
    <t>Coupon</t>
  </si>
  <si>
    <t>Pay Freq</t>
  </si>
  <si>
    <t>Annual</t>
  </si>
  <si>
    <t>Day Count</t>
  </si>
  <si>
    <t>30U/360</t>
  </si>
  <si>
    <t>Calc Basis</t>
  </si>
  <si>
    <t>Money Mkt</t>
  </si>
  <si>
    <t>Leg</t>
  </si>
  <si>
    <t>Fixed</t>
  </si>
  <si>
    <t>Float</t>
  </si>
  <si>
    <t>Side</t>
  </si>
  <si>
    <t>Receive</t>
  </si>
  <si>
    <t>Pay</t>
  </si>
  <si>
    <t>Index</t>
  </si>
  <si>
    <t>Spread</t>
  </si>
  <si>
    <t>Leverage</t>
  </si>
  <si>
    <t>Latest Index</t>
  </si>
  <si>
    <t>ESTRON</t>
  </si>
  <si>
    <t>1D</t>
  </si>
  <si>
    <t>Reset Freq</t>
  </si>
  <si>
    <t>Daily</t>
  </si>
  <si>
    <t>SemiAnnual</t>
  </si>
  <si>
    <t>ACT/360</t>
  </si>
  <si>
    <t>Curve Date</t>
  </si>
  <si>
    <t>Valuation</t>
  </si>
  <si>
    <t>CSA Coll Ccy</t>
  </si>
  <si>
    <t>OIS DC Stripping</t>
  </si>
  <si>
    <t>Market</t>
  </si>
  <si>
    <t>M</t>
  </si>
  <si>
    <t>EUR OIS ESTR (ICVS Default Curve)</t>
  </si>
  <si>
    <t>Forward</t>
  </si>
  <si>
    <t>Additional Detail</t>
  </si>
  <si>
    <t>Principal Exchange</t>
  </si>
  <si>
    <t>Never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</si>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</sst>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2" xfId="0" applyNumberFormat="1" applyBorder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7F98-E516-4E4B-8DE8-C48E4CB55E6A}">
  <dimension ref="A2:K23"/>
  <sheetViews>
    <sheetView tabSelected="1" workbookViewId="0">
      <selection activeCell="N17" sqref="N17"/>
    </sheetView>
  </sheetViews>
  <sheetFormatPr defaultRowHeight="13.2" x14ac:dyDescent="0.25"/>
  <cols>
    <col min="1" max="1" width="16.77734375" bestFit="1" customWidth="1"/>
    <col min="2" max="2" width="10.109375" bestFit="1" customWidth="1"/>
    <col min="4" max="4" width="16" customWidth="1"/>
    <col min="5" max="5" width="10.6640625" bestFit="1" customWidth="1"/>
    <col min="8" max="8" width="16.21875" customWidth="1"/>
    <col min="9" max="9" width="10.109375" bestFit="1" customWidth="1"/>
  </cols>
  <sheetData>
    <row r="2" spans="1:11" x14ac:dyDescent="0.25">
      <c r="A2" s="3" t="s">
        <v>20</v>
      </c>
      <c r="B2" s="4" t="s">
        <v>21</v>
      </c>
      <c r="D2" s="3" t="s">
        <v>20</v>
      </c>
      <c r="E2" s="10" t="s">
        <v>22</v>
      </c>
      <c r="F2" s="4"/>
      <c r="H2" s="3" t="s">
        <v>36</v>
      </c>
      <c r="I2" s="12">
        <v>46254</v>
      </c>
    </row>
    <row r="3" spans="1:11" x14ac:dyDescent="0.25">
      <c r="A3" s="5" t="s">
        <v>23</v>
      </c>
      <c r="B3" s="6" t="s">
        <v>24</v>
      </c>
      <c r="D3" s="5" t="s">
        <v>23</v>
      </c>
      <c r="E3" t="s">
        <v>25</v>
      </c>
      <c r="F3" s="6"/>
      <c r="H3" s="5" t="s">
        <v>37</v>
      </c>
      <c r="I3" s="7">
        <v>46258</v>
      </c>
    </row>
    <row r="4" spans="1:11" x14ac:dyDescent="0.25">
      <c r="A4" s="5" t="s">
        <v>6</v>
      </c>
      <c r="B4" s="6">
        <v>10000000</v>
      </c>
      <c r="D4" s="5" t="s">
        <v>7</v>
      </c>
      <c r="E4" t="s">
        <v>8</v>
      </c>
      <c r="F4" s="6"/>
      <c r="H4" s="5" t="s">
        <v>38</v>
      </c>
      <c r="I4" s="6" t="s">
        <v>8</v>
      </c>
    </row>
    <row r="5" spans="1:11" x14ac:dyDescent="0.25">
      <c r="A5" s="5" t="s">
        <v>7</v>
      </c>
      <c r="B5" s="6" t="s">
        <v>8</v>
      </c>
      <c r="D5" s="5" t="s">
        <v>9</v>
      </c>
      <c r="E5" s="2">
        <v>46237</v>
      </c>
      <c r="F5" s="6"/>
      <c r="H5" s="5" t="s">
        <v>39</v>
      </c>
      <c r="I5" s="6" t="b">
        <v>1</v>
      </c>
    </row>
    <row r="6" spans="1:11" x14ac:dyDescent="0.25">
      <c r="A6" s="5" t="s">
        <v>9</v>
      </c>
      <c r="B6" s="7">
        <v>46237</v>
      </c>
      <c r="D6" s="5" t="s">
        <v>10</v>
      </c>
      <c r="E6" s="2">
        <v>49890</v>
      </c>
      <c r="F6" s="6"/>
      <c r="H6" s="5"/>
      <c r="I6" s="6"/>
    </row>
    <row r="7" spans="1:11" x14ac:dyDescent="0.25">
      <c r="A7" s="5" t="s">
        <v>10</v>
      </c>
      <c r="B7" s="7">
        <v>49890</v>
      </c>
      <c r="D7" s="5" t="s">
        <v>26</v>
      </c>
      <c r="E7" t="s">
        <v>31</v>
      </c>
      <c r="F7" s="6" t="s">
        <v>30</v>
      </c>
      <c r="H7" s="5"/>
      <c r="I7" s="6"/>
    </row>
    <row r="8" spans="1:11" x14ac:dyDescent="0.25">
      <c r="A8" s="5" t="s">
        <v>11</v>
      </c>
      <c r="B8" s="6" t="s">
        <v>12</v>
      </c>
      <c r="D8" s="5" t="s">
        <v>27</v>
      </c>
      <c r="E8">
        <v>0</v>
      </c>
      <c r="F8" s="6"/>
      <c r="H8" s="5"/>
      <c r="I8" s="6"/>
    </row>
    <row r="9" spans="1:11" x14ac:dyDescent="0.25">
      <c r="A9" s="5" t="s">
        <v>13</v>
      </c>
      <c r="B9" s="6">
        <v>3.1315</v>
      </c>
      <c r="D9" s="5" t="s">
        <v>28</v>
      </c>
      <c r="E9">
        <v>1</v>
      </c>
      <c r="F9" s="6"/>
      <c r="H9" s="5"/>
      <c r="I9" s="6"/>
    </row>
    <row r="10" spans="1:11" x14ac:dyDescent="0.25">
      <c r="A10" s="5" t="s">
        <v>14</v>
      </c>
      <c r="B10" s="6" t="s">
        <v>15</v>
      </c>
      <c r="D10" s="5" t="s">
        <v>29</v>
      </c>
      <c r="E10">
        <v>2.681</v>
      </c>
      <c r="F10" s="6"/>
      <c r="H10" s="5"/>
      <c r="I10" s="6"/>
    </row>
    <row r="11" spans="1:11" x14ac:dyDescent="0.25">
      <c r="A11" s="5" t="s">
        <v>16</v>
      </c>
      <c r="B11" s="6" t="s">
        <v>17</v>
      </c>
      <c r="D11" s="5" t="s">
        <v>32</v>
      </c>
      <c r="E11" t="s">
        <v>33</v>
      </c>
      <c r="F11" s="6"/>
      <c r="H11" s="5"/>
      <c r="I11" s="6"/>
    </row>
    <row r="12" spans="1:11" x14ac:dyDescent="0.25">
      <c r="A12" s="5" t="s">
        <v>18</v>
      </c>
      <c r="B12" s="6" t="s">
        <v>19</v>
      </c>
      <c r="D12" s="5" t="s">
        <v>14</v>
      </c>
      <c r="E12" t="s">
        <v>34</v>
      </c>
      <c r="F12" s="6"/>
      <c r="H12" s="5"/>
      <c r="I12" s="6"/>
    </row>
    <row r="13" spans="1:11" x14ac:dyDescent="0.25">
      <c r="A13" s="8"/>
      <c r="B13" s="9"/>
      <c r="D13" s="8" t="s">
        <v>16</v>
      </c>
      <c r="E13" s="11" t="s">
        <v>35</v>
      </c>
      <c r="F13" s="9"/>
      <c r="H13" s="8"/>
      <c r="I13" s="9"/>
    </row>
    <row r="16" spans="1:11" x14ac:dyDescent="0.25">
      <c r="A16" s="3" t="s">
        <v>40</v>
      </c>
      <c r="B16" s="10"/>
      <c r="C16" s="10"/>
      <c r="D16" s="10"/>
      <c r="E16" s="10"/>
      <c r="F16" s="10"/>
      <c r="G16" s="10"/>
      <c r="H16" s="10"/>
      <c r="I16" s="10"/>
      <c r="J16" s="10"/>
      <c r="K16" s="4"/>
    </row>
    <row r="17" spans="1:11" x14ac:dyDescent="0.25">
      <c r="A17" s="5" t="s">
        <v>4</v>
      </c>
      <c r="B17">
        <v>514</v>
      </c>
      <c r="C17" t="s">
        <v>41</v>
      </c>
      <c r="D17" t="s">
        <v>42</v>
      </c>
      <c r="E17" t="s">
        <v>4</v>
      </c>
      <c r="F17">
        <v>514</v>
      </c>
      <c r="G17" t="s">
        <v>41</v>
      </c>
      <c r="H17" t="s">
        <v>42</v>
      </c>
      <c r="K17" s="6"/>
    </row>
    <row r="18" spans="1:11" x14ac:dyDescent="0.25">
      <c r="A18" s="5"/>
      <c r="E18" t="s">
        <v>43</v>
      </c>
      <c r="F18">
        <v>514</v>
      </c>
      <c r="G18" t="s">
        <v>41</v>
      </c>
      <c r="H18" t="s">
        <v>42</v>
      </c>
      <c r="K18" s="6"/>
    </row>
    <row r="19" spans="1:11" x14ac:dyDescent="0.25">
      <c r="A19" s="8"/>
      <c r="B19" s="11"/>
      <c r="C19" s="11"/>
      <c r="D19" s="11"/>
      <c r="E19" s="11"/>
      <c r="F19" s="11"/>
      <c r="G19" s="11"/>
      <c r="H19" s="11"/>
      <c r="I19" s="11"/>
      <c r="J19" s="11"/>
      <c r="K19" s="9"/>
    </row>
    <row r="21" spans="1:11" x14ac:dyDescent="0.25">
      <c r="A21" s="3" t="s">
        <v>44</v>
      </c>
      <c r="B21" s="4"/>
    </row>
    <row r="22" spans="1:11" x14ac:dyDescent="0.25">
      <c r="A22" s="5" t="s">
        <v>45</v>
      </c>
      <c r="B22" s="6" t="s">
        <v>46</v>
      </c>
    </row>
    <row r="23" spans="1:11" x14ac:dyDescent="0.25">
      <c r="A23" s="8" t="s">
        <v>47</v>
      </c>
      <c r="B23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43E8-ECD6-4EE2-A9C2-D07FCDD2C6D3}">
  <dimension ref="A1:F25"/>
  <sheetViews>
    <sheetView workbookViewId="0">
      <selection activeCell="C33" sqref="C33"/>
    </sheetView>
  </sheetViews>
  <sheetFormatPr defaultRowHeight="13.2" x14ac:dyDescent="0.25"/>
  <cols>
    <col min="1" max="1" width="10.109375" bestFit="1" customWidth="1"/>
    <col min="2" max="2" width="13.44140625" bestFit="1" customWidth="1"/>
    <col min="3" max="3" width="12.44140625" bestFit="1" customWidth="1"/>
    <col min="4" max="6" width="10.7773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46422</v>
      </c>
      <c r="B2" s="1">
        <v>0</v>
      </c>
      <c r="C2" s="1">
        <v>-128428.25</v>
      </c>
      <c r="D2" s="1">
        <v>-128428.25</v>
      </c>
      <c r="E2" s="1">
        <v>0.98748800000000003</v>
      </c>
      <c r="F2" s="1">
        <v>-126821.35</v>
      </c>
    </row>
    <row r="3" spans="1:6" x14ac:dyDescent="0.25">
      <c r="A3" s="2">
        <v>46603</v>
      </c>
      <c r="B3" s="1">
        <v>308342.8</v>
      </c>
      <c r="C3" s="1">
        <v>-137593.63</v>
      </c>
      <c r="D3" s="1">
        <v>170749.17</v>
      </c>
      <c r="E3" s="1">
        <v>0.97393200000000002</v>
      </c>
      <c r="F3" s="1">
        <v>166298.01</v>
      </c>
    </row>
    <row r="4" spans="1:6" x14ac:dyDescent="0.25">
      <c r="A4" s="2">
        <f>A2+365</f>
        <v>46787</v>
      </c>
      <c r="B4" s="1">
        <v>0</v>
      </c>
      <c r="C4" s="1">
        <v>-144959.53</v>
      </c>
      <c r="D4" s="1">
        <v>-144959.53</v>
      </c>
      <c r="E4" s="1">
        <v>0.96016199999999996</v>
      </c>
      <c r="F4" s="1">
        <v>-139184.66</v>
      </c>
    </row>
    <row r="5" spans="1:6" x14ac:dyDescent="0.25">
      <c r="A5" s="2">
        <f>A3+365+1</f>
        <v>46969</v>
      </c>
      <c r="B5" s="1">
        <v>309199.31</v>
      </c>
      <c r="C5" s="1">
        <v>-141069.91</v>
      </c>
      <c r="D5" s="1">
        <v>168129.4</v>
      </c>
      <c r="E5" s="1">
        <v>0.94680600000000004</v>
      </c>
      <c r="F5" s="1">
        <v>159186</v>
      </c>
    </row>
    <row r="6" spans="1:6" x14ac:dyDescent="0.25">
      <c r="A6" s="2">
        <f>A4+365+3</f>
        <v>47155</v>
      </c>
      <c r="B6" s="1">
        <v>0</v>
      </c>
      <c r="C6" s="1">
        <v>-143082.5</v>
      </c>
      <c r="D6" s="1">
        <v>-143082.5</v>
      </c>
      <c r="E6" s="1">
        <v>0.93345</v>
      </c>
      <c r="F6" s="1">
        <v>-133560.32000000001</v>
      </c>
    </row>
    <row r="7" spans="1:6" x14ac:dyDescent="0.25">
      <c r="A7" s="2">
        <f>A5+365+2</f>
        <v>47336</v>
      </c>
      <c r="B7" s="1">
        <v>307486.28999999998</v>
      </c>
      <c r="C7" s="1">
        <v>-141535.75</v>
      </c>
      <c r="D7" s="1">
        <v>165950.54</v>
      </c>
      <c r="E7" s="1">
        <v>0.92042199999999996</v>
      </c>
      <c r="F7" s="1">
        <v>152744.6</v>
      </c>
    </row>
    <row r="8" spans="1:6" x14ac:dyDescent="0.25">
      <c r="A8" s="2">
        <f>A6+365-1</f>
        <v>47519</v>
      </c>
      <c r="B8" s="1">
        <v>0</v>
      </c>
      <c r="C8" s="1">
        <v>-146510.5</v>
      </c>
      <c r="D8" s="1">
        <v>-146510.5</v>
      </c>
      <c r="E8" s="1">
        <v>0.90713100000000002</v>
      </c>
      <c r="F8" s="1">
        <v>-132904.17000000001</v>
      </c>
    </row>
    <row r="9" spans="1:6" x14ac:dyDescent="0.25">
      <c r="A9" s="2">
        <f t="shared" ref="A9:A21" si="0">A7+365</f>
        <v>47701</v>
      </c>
      <c r="B9" s="1">
        <v>308342.8</v>
      </c>
      <c r="C9" s="1">
        <v>-144206.22</v>
      </c>
      <c r="D9" s="1">
        <v>164136.57999999999</v>
      </c>
      <c r="E9" s="1">
        <v>0.894235</v>
      </c>
      <c r="F9" s="1">
        <v>146776.72</v>
      </c>
    </row>
    <row r="10" spans="1:6" x14ac:dyDescent="0.25">
      <c r="A10" s="2">
        <f>A8+365-1</f>
        <v>47883</v>
      </c>
      <c r="B10" s="1">
        <v>0</v>
      </c>
      <c r="C10" s="1">
        <v>-151061.89000000001</v>
      </c>
      <c r="D10" s="1">
        <v>-151061.89000000001</v>
      </c>
      <c r="E10" s="1">
        <v>0.88092599999999999</v>
      </c>
      <c r="F10" s="1">
        <v>-133074.29</v>
      </c>
    </row>
    <row r="11" spans="1:6" x14ac:dyDescent="0.25">
      <c r="A11" s="2">
        <f>A9+365-1</f>
        <v>48065</v>
      </c>
      <c r="B11" s="1">
        <v>308342.8</v>
      </c>
      <c r="C11" s="1">
        <v>-148753.76</v>
      </c>
      <c r="D11" s="1">
        <v>159589.04</v>
      </c>
      <c r="E11" s="1">
        <v>0.86801399999999995</v>
      </c>
      <c r="F11" s="1">
        <v>138525.46</v>
      </c>
    </row>
    <row r="12" spans="1:6" x14ac:dyDescent="0.25">
      <c r="A12" s="2">
        <f t="shared" si="0"/>
        <v>48248</v>
      </c>
      <c r="B12" s="1">
        <v>0</v>
      </c>
      <c r="C12" s="1">
        <v>-155175</v>
      </c>
      <c r="D12" s="1">
        <v>-155175</v>
      </c>
      <c r="E12" s="1">
        <v>0.85460499999999995</v>
      </c>
      <c r="F12" s="1">
        <v>-132613.32999999999</v>
      </c>
    </row>
    <row r="13" spans="1:6" x14ac:dyDescent="0.25">
      <c r="A13" s="2">
        <f t="shared" si="0"/>
        <v>48430</v>
      </c>
      <c r="B13" s="1">
        <v>308342.8</v>
      </c>
      <c r="C13" s="1">
        <v>-153606.71</v>
      </c>
      <c r="D13" s="1">
        <v>154736.09</v>
      </c>
      <c r="E13" s="1">
        <v>0.84167599999999998</v>
      </c>
      <c r="F13" s="1">
        <v>130237.69</v>
      </c>
    </row>
    <row r="14" spans="1:6" x14ac:dyDescent="0.25">
      <c r="A14" s="2">
        <f>A12+365+1</f>
        <v>48614</v>
      </c>
      <c r="B14" s="1">
        <v>0</v>
      </c>
      <c r="C14" s="1">
        <v>-162985.47</v>
      </c>
      <c r="D14" s="1">
        <v>-162985.47</v>
      </c>
      <c r="E14" s="1">
        <v>0.82831399999999999</v>
      </c>
      <c r="F14" s="1">
        <v>-135003.12</v>
      </c>
    </row>
    <row r="15" spans="1:6" x14ac:dyDescent="0.25">
      <c r="A15" s="2">
        <f t="shared" si="0"/>
        <v>48795</v>
      </c>
      <c r="B15" s="1">
        <v>310055.82</v>
      </c>
      <c r="C15" s="1">
        <v>-160507.97</v>
      </c>
      <c r="D15" s="1">
        <v>149547.84</v>
      </c>
      <c r="E15" s="1">
        <v>0.81522899999999998</v>
      </c>
      <c r="F15" s="1">
        <v>121915.7</v>
      </c>
    </row>
    <row r="16" spans="1:6" x14ac:dyDescent="0.25">
      <c r="A16" s="2">
        <f>A14+365+2</f>
        <v>48981</v>
      </c>
      <c r="B16" s="1">
        <v>0</v>
      </c>
      <c r="C16" s="1">
        <v>-165201.01999999999</v>
      </c>
      <c r="D16" s="1">
        <v>-165201.01999999999</v>
      </c>
      <c r="E16" s="1">
        <v>0.80197799999999997</v>
      </c>
      <c r="F16" s="1">
        <v>-132487.56</v>
      </c>
    </row>
    <row r="17" spans="1:6" x14ac:dyDescent="0.25">
      <c r="A17" s="2">
        <f t="shared" si="0"/>
        <v>49160</v>
      </c>
      <c r="B17" s="1">
        <v>307486.28999999998</v>
      </c>
      <c r="C17" s="1">
        <v>-165279.69</v>
      </c>
      <c r="D17" s="1">
        <v>142206.6</v>
      </c>
      <c r="E17" s="1">
        <v>0.78893800000000003</v>
      </c>
      <c r="F17" s="1">
        <v>112192.24</v>
      </c>
    </row>
    <row r="18" spans="1:6" x14ac:dyDescent="0.25">
      <c r="A18" s="2">
        <f t="shared" si="0"/>
        <v>49346</v>
      </c>
      <c r="B18" s="1">
        <v>0</v>
      </c>
      <c r="C18" s="1">
        <v>-171775.74</v>
      </c>
      <c r="D18" s="1">
        <v>-171775.74</v>
      </c>
      <c r="E18" s="1">
        <v>0.775613</v>
      </c>
      <c r="F18" s="1">
        <v>-133231.46</v>
      </c>
    </row>
    <row r="19" spans="1:6" x14ac:dyDescent="0.25">
      <c r="A19" s="2">
        <f>A17+365+2</f>
        <v>49527</v>
      </c>
      <c r="B19" s="1">
        <v>307486.28999999998</v>
      </c>
      <c r="C19" s="1">
        <v>-170005.9</v>
      </c>
      <c r="D19" s="1">
        <v>137480.39000000001</v>
      </c>
      <c r="E19" s="1">
        <v>0.76264699999999996</v>
      </c>
      <c r="F19" s="1">
        <v>104849.05</v>
      </c>
    </row>
    <row r="20" spans="1:6" x14ac:dyDescent="0.25">
      <c r="A20" s="2">
        <f>A18+365-1</f>
        <v>49710</v>
      </c>
      <c r="B20" s="1">
        <v>0</v>
      </c>
      <c r="C20" s="1">
        <v>-175845.83</v>
      </c>
      <c r="D20" s="1">
        <v>-175845.83</v>
      </c>
      <c r="E20" s="1">
        <v>0.74946699999999999</v>
      </c>
      <c r="F20" s="1">
        <v>-131790.65</v>
      </c>
    </row>
    <row r="21" spans="1:6" x14ac:dyDescent="0.25">
      <c r="A21" s="2">
        <f t="shared" si="0"/>
        <v>49892</v>
      </c>
      <c r="B21" s="1">
        <v>308342.8</v>
      </c>
      <c r="C21" s="1">
        <v>-174035.21</v>
      </c>
      <c r="D21" s="1">
        <v>134307.59</v>
      </c>
      <c r="E21" s="1">
        <v>0.73664700000000005</v>
      </c>
      <c r="F21" s="1">
        <v>98937.25</v>
      </c>
    </row>
    <row r="25" spans="1:6" x14ac:dyDescent="0.25">
      <c r="F25" s="1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60abce-d689-4532-9341-d3fc3bb36e93}" enabled="1" method="Privileged" siteId="{c1f94f0d-9a3d-4854-9288-bb90dcf2a9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Cash Flows</vt:lpstr>
    </vt:vector>
  </TitlesOfParts>
  <Company>APG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Swanenburg, JV (Jade)</dc:creator>
  <cp:lastModifiedBy>Swanenburg, JV (Jade)</cp:lastModifiedBy>
  <dcterms:created xsi:type="dcterms:W3CDTF">2026-08-24T14:59:15Z</dcterms:created>
  <dcterms:modified xsi:type="dcterms:W3CDTF">2026-10-27T20:45:38Z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