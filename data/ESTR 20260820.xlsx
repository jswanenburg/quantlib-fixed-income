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3343\source\repos\GB_QuantLib_CodeHub\data\"/>
    </mc:Choice>
  </mc:AlternateContent>
  <xr:revisionPtr revIDLastSave="0" documentId="13_ncr:1_{A7E4A904-6B07-4759-8C90-91901413EBF8}" xr6:coauthVersionLast="47" xr6:coauthVersionMax="47" xr10:uidLastSave="{00000000-0000-0000-0000-000000000000}"/>
  <bookViews>
    <workbookView xWindow="-108" yWindow="-108" windowWidth="23256" windowHeight="13896" xr2:uid="{CB804718-BD6B-4FD7-9187-BA8D222D3D96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2" l="1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<sst xmlns="http://schemas.openxmlformats.org/spreadsheetml/2006/main" count="35" uniqueCount="35">
  <si>
    <t>Term</t>
  </si>
  <si>
    <t>6 MO</t>
  </si>
  <si>
    <t>1 YR</t>
  </si>
  <si>
    <t>18 MO</t>
  </si>
  <si>
    <t>2 YR</t>
  </si>
  <si>
    <t>3 YR</t>
  </si>
  <si>
    <t>4 YR</t>
  </si>
  <si>
    <t>5 YR</t>
  </si>
  <si>
    <t>6 YR</t>
  </si>
  <si>
    <t>7 YR</t>
  </si>
  <si>
    <t>8 YR</t>
  </si>
  <si>
    <t>9 YR</t>
  </si>
  <si>
    <t>10 YR</t>
  </si>
  <si>
    <t>11 YR</t>
  </si>
  <si>
    <t>12 YR</t>
  </si>
  <si>
    <t>15 YR</t>
  </si>
  <si>
    <t>20 YR</t>
  </si>
  <si>
    <t>25 YR</t>
  </si>
  <si>
    <t>30 YR</t>
  </si>
  <si>
    <t>40 YR</t>
  </si>
  <si>
    <t>50 YR</t>
  </si>
  <si>
    <t>1 WK</t>
  </si>
  <si>
    <t>2 WK</t>
  </si>
  <si>
    <t>1 MO</t>
  </si>
  <si>
    <t>2 MO</t>
  </si>
  <si>
    <t>3 MO</t>
  </si>
  <si>
    <t>4 MO</t>
  </si>
  <si>
    <t>5 MO</t>
  </si>
  <si>
    <t>7 MO</t>
  </si>
  <si>
    <t>8 MO</t>
  </si>
  <si>
    <t>9 MO</t>
  </si>
  <si>
    <t>10 MO</t>
  </si>
  <si>
    <t>11 MO</t>
  </si>
  <si>
    <t>Market Rate</t>
  </si>
  <si>
    <t>Year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</si>
</sst>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B1F6D-794F-4D38-81C5-1082424CB4AA}">
  <dimension ref="A1:C33"/>
  <sheetViews>
    <sheetView tabSelected="1" workbookViewId="0">
      <selection activeCell="G10" sqref="G10"/>
    </sheetView>
  </sheetViews>
  <sheetFormatPr defaultRowHeight="13.2" x14ac:dyDescent="0.25"/>
  <cols>
    <col min="1" max="1" width="14.5546875" bestFit="1" customWidth="1"/>
    <col min="2" max="2" width="14.5546875" customWidth="1"/>
  </cols>
  <sheetData>
    <row r="1" spans="1:3" x14ac:dyDescent="0.25">
      <c r="A1" t="s">
        <v>0</v>
      </c>
      <c r="B1" t="s">
        <v>33</v>
      </c>
      <c r="C1" t="s">
        <v>34</v>
      </c>
    </row>
    <row r="2" spans="1:3" x14ac:dyDescent="0.25">
      <c r="A2" t="s">
        <v>21</v>
      </c>
      <c r="B2">
        <v>2.19</v>
      </c>
      <c r="C2">
        <f>1/52</f>
        <v>1.9230769230769232E-2</v>
      </c>
    </row>
    <row r="3" spans="1:3" x14ac:dyDescent="0.25">
      <c r="A3" t="s">
        <v>22</v>
      </c>
      <c r="B3">
        <v>2.19</v>
      </c>
      <c r="C3">
        <f>2/52</f>
        <v>3.8461538461538464E-2</v>
      </c>
    </row>
    <row r="4" spans="1:3" x14ac:dyDescent="0.25">
      <c r="A4" t="s">
        <v>23</v>
      </c>
      <c r="B4">
        <v>2.25</v>
      </c>
      <c r="C4">
        <f>1/12</f>
        <v>8.3333333333333329E-2</v>
      </c>
    </row>
    <row r="5" spans="1:3" x14ac:dyDescent="0.25">
      <c r="A5" t="s">
        <v>24</v>
      </c>
      <c r="B5">
        <v>2.34</v>
      </c>
      <c r="C5">
        <f>2/12</f>
        <v>0.16666666666666666</v>
      </c>
    </row>
    <row r="6" spans="1:3" x14ac:dyDescent="0.25">
      <c r="A6" t="s">
        <v>25</v>
      </c>
      <c r="B6">
        <v>2.39</v>
      </c>
      <c r="C6">
        <f>3/12</f>
        <v>0.25</v>
      </c>
    </row>
    <row r="7" spans="1:3" x14ac:dyDescent="0.25">
      <c r="A7" t="s">
        <v>26</v>
      </c>
      <c r="B7">
        <v>2.41</v>
      </c>
      <c r="C7">
        <f>4/12</f>
        <v>0.33333333333333331</v>
      </c>
    </row>
    <row r="8" spans="1:3" x14ac:dyDescent="0.25">
      <c r="A8" t="s">
        <v>27</v>
      </c>
      <c r="B8">
        <v>2.46</v>
      </c>
      <c r="C8">
        <f>5/12</f>
        <v>0.41666666666666669</v>
      </c>
    </row>
    <row r="9" spans="1:3" x14ac:dyDescent="0.25">
      <c r="A9" t="s">
        <v>1</v>
      </c>
      <c r="B9">
        <v>2.4900000000000002</v>
      </c>
      <c r="C9">
        <f>6/12</f>
        <v>0.5</v>
      </c>
    </row>
    <row r="10" spans="1:3" x14ac:dyDescent="0.25">
      <c r="A10" t="s">
        <v>28</v>
      </c>
      <c r="B10">
        <v>2.52</v>
      </c>
      <c r="C10">
        <f>7/12</f>
        <v>0.58333333333333337</v>
      </c>
    </row>
    <row r="11" spans="1:3" x14ac:dyDescent="0.25">
      <c r="A11" t="s">
        <v>29</v>
      </c>
      <c r="B11">
        <v>2.56</v>
      </c>
      <c r="C11">
        <f>8/12</f>
        <v>0.66666666666666663</v>
      </c>
    </row>
    <row r="12" spans="1:3" x14ac:dyDescent="0.25">
      <c r="A12" t="s">
        <v>30</v>
      </c>
      <c r="B12">
        <v>2.58</v>
      </c>
      <c r="C12">
        <f>9/12</f>
        <v>0.75</v>
      </c>
    </row>
    <row r="13" spans="1:3" x14ac:dyDescent="0.25">
      <c r="A13" t="s">
        <v>31</v>
      </c>
      <c r="B13">
        <v>2.61</v>
      </c>
      <c r="C13">
        <f>10/12</f>
        <v>0.83333333333333337</v>
      </c>
    </row>
    <row r="14" spans="1:3" x14ac:dyDescent="0.25">
      <c r="A14" t="s">
        <v>32</v>
      </c>
      <c r="B14">
        <v>2.63</v>
      </c>
      <c r="C14">
        <f>11/12</f>
        <v>0.91666666666666663</v>
      </c>
    </row>
    <row r="15" spans="1:3" x14ac:dyDescent="0.25">
      <c r="A15" t="s">
        <v>2</v>
      </c>
      <c r="B15">
        <v>2.65</v>
      </c>
      <c r="C15">
        <v>1</v>
      </c>
    </row>
    <row r="16" spans="1:3" x14ac:dyDescent="0.25">
      <c r="A16" t="s">
        <v>3</v>
      </c>
      <c r="B16">
        <v>2.7</v>
      </c>
      <c r="C16">
        <f>18/12</f>
        <v>1.5</v>
      </c>
    </row>
    <row r="17" spans="1:3" x14ac:dyDescent="0.25">
      <c r="A17" t="s">
        <v>4</v>
      </c>
      <c r="B17">
        <v>2.73</v>
      </c>
      <c r="C17">
        <v>2</v>
      </c>
    </row>
    <row r="18" spans="1:3" x14ac:dyDescent="0.25">
      <c r="A18" t="s">
        <v>5</v>
      </c>
      <c r="B18">
        <v>2.76</v>
      </c>
      <c r="C18">
        <v>3</v>
      </c>
    </row>
    <row r="19" spans="1:3" x14ac:dyDescent="0.25">
      <c r="A19" t="s">
        <v>6</v>
      </c>
      <c r="B19">
        <v>2.79</v>
      </c>
      <c r="C19">
        <v>4</v>
      </c>
    </row>
    <row r="20" spans="1:3" x14ac:dyDescent="0.25">
      <c r="A20" t="s">
        <v>7</v>
      </c>
      <c r="B20">
        <v>2.82</v>
      </c>
      <c r="C20">
        <v>5</v>
      </c>
    </row>
    <row r="21" spans="1:3" x14ac:dyDescent="0.25">
      <c r="A21" t="s">
        <v>8</v>
      </c>
      <c r="B21">
        <v>2.86</v>
      </c>
      <c r="C21">
        <v>6</v>
      </c>
    </row>
    <row r="22" spans="1:3" x14ac:dyDescent="0.25">
      <c r="A22" t="s">
        <v>9</v>
      </c>
      <c r="B22">
        <v>2.9</v>
      </c>
      <c r="C22">
        <v>7</v>
      </c>
    </row>
    <row r="23" spans="1:3" x14ac:dyDescent="0.25">
      <c r="A23" t="s">
        <v>10</v>
      </c>
      <c r="B23">
        <v>2.94</v>
      </c>
      <c r="C23">
        <v>8</v>
      </c>
    </row>
    <row r="24" spans="1:3" x14ac:dyDescent="0.25">
      <c r="A24" t="s">
        <v>11</v>
      </c>
      <c r="B24">
        <v>2.99</v>
      </c>
      <c r="C24">
        <v>9</v>
      </c>
    </row>
    <row r="25" spans="1:3" x14ac:dyDescent="0.25">
      <c r="A25" t="s">
        <v>12</v>
      </c>
      <c r="B25">
        <v>3.03</v>
      </c>
      <c r="C25">
        <v>10</v>
      </c>
    </row>
    <row r="26" spans="1:3" x14ac:dyDescent="0.25">
      <c r="A26" t="s">
        <v>13</v>
      </c>
      <c r="B26">
        <v>3.07</v>
      </c>
      <c r="C26">
        <v>11</v>
      </c>
    </row>
    <row r="27" spans="1:3" x14ac:dyDescent="0.25">
      <c r="A27" t="s">
        <v>14</v>
      </c>
      <c r="B27">
        <v>3.11</v>
      </c>
      <c r="C27">
        <v>12</v>
      </c>
    </row>
    <row r="28" spans="1:3" x14ac:dyDescent="0.25">
      <c r="A28" t="s">
        <v>15</v>
      </c>
      <c r="B28">
        <v>3.2</v>
      </c>
      <c r="C28">
        <v>15</v>
      </c>
    </row>
    <row r="29" spans="1:3" x14ac:dyDescent="0.25">
      <c r="A29" t="s">
        <v>16</v>
      </c>
      <c r="B29">
        <v>3.27</v>
      </c>
      <c r="C29">
        <v>20</v>
      </c>
    </row>
    <row r="30" spans="1:3" x14ac:dyDescent="0.25">
      <c r="A30" t="s">
        <v>17</v>
      </c>
      <c r="B30">
        <v>3.27</v>
      </c>
      <c r="C30">
        <v>25</v>
      </c>
    </row>
    <row r="31" spans="1:3" x14ac:dyDescent="0.25">
      <c r="A31" t="s">
        <v>18</v>
      </c>
      <c r="B31">
        <v>3.24</v>
      </c>
      <c r="C31">
        <v>30</v>
      </c>
    </row>
    <row r="32" spans="1:3" x14ac:dyDescent="0.25">
      <c r="A32" t="s">
        <v>19</v>
      </c>
      <c r="B32">
        <v>3.13</v>
      </c>
      <c r="C32">
        <v>40</v>
      </c>
    </row>
    <row r="33" spans="1:3" x14ac:dyDescent="0.25">
      <c r="A33" t="s">
        <v>20</v>
      </c>
      <c r="B33">
        <v>3</v>
      </c>
      <c r="C33">
        <v>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360abce-d689-4532-9341-d3fc3bb36e93}" enabled="1" method="Privileged" siteId="{c1f94f0d-9a3d-4854-9288-bb90dcf2a90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APG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Swanenburg, JV (Jade)</dc:creator>
  <cp:lastModifiedBy>Swanenburg, JV (Jade)</cp:lastModifiedBy>
  <dcterms:created xsi:type="dcterms:W3CDTF">2026-08-20T15:20:07Z</dcterms:created>
  <dcterms:modified xsi:type="dcterms:W3CDTF">2026-10-27T20:41:35Z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